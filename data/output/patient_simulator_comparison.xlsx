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daniel/Projects/patient_vignettes/data/output/"/>
    </mc:Choice>
  </mc:AlternateContent>
  <xr:revisionPtr revIDLastSave="0" documentId="13_ncr:1_{4562B60A-0625-364B-AD36-EC16BEAE6751}" xr6:coauthVersionLast="47" xr6:coauthVersionMax="47" xr10:uidLastSave="{00000000-0000-0000-0000-000000000000}"/>
  <bookViews>
    <workbookView xWindow="3560" yWindow="3640" windowWidth="17280" windowHeight="21580" xr2:uid="{00000000-000D-0000-FFFF-FFFF00000000}"/>
  </bookViews>
  <sheets>
    <sheet name="outpu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1" l="1"/>
  <c r="E7" i="1"/>
  <c r="F7" i="1"/>
  <c r="D9" i="1"/>
  <c r="E9" i="1"/>
  <c r="F9" i="1"/>
  <c r="D11" i="1"/>
  <c r="E11" i="1"/>
  <c r="F11" i="1"/>
  <c r="D13" i="1"/>
  <c r="E13" i="1"/>
  <c r="F13" i="1"/>
  <c r="D15" i="1"/>
  <c r="E15" i="1"/>
  <c r="F15" i="1"/>
  <c r="D17" i="1"/>
  <c r="E17" i="1"/>
  <c r="F17" i="1"/>
  <c r="D19" i="1"/>
  <c r="E19" i="1"/>
  <c r="F19" i="1"/>
  <c r="D21" i="1"/>
  <c r="E21" i="1"/>
  <c r="F21" i="1"/>
  <c r="D23" i="1"/>
  <c r="E23" i="1"/>
  <c r="F23" i="1"/>
  <c r="D25" i="1"/>
  <c r="E25" i="1"/>
  <c r="F25" i="1"/>
  <c r="E5" i="1"/>
  <c r="F5" i="1"/>
  <c r="D5" i="1"/>
  <c r="D26" i="1" l="1"/>
  <c r="D27" i="1" s="1"/>
  <c r="E26" i="1"/>
  <c r="E27" i="1" s="1"/>
  <c r="F26" i="1"/>
  <c r="F27" i="1" s="1"/>
</calcChain>
</file>

<file path=xl/sharedStrings.xml><?xml version="1.0" encoding="utf-8"?>
<sst xmlns="http://schemas.openxmlformats.org/spreadsheetml/2006/main" count="51" uniqueCount="51">
  <si>
    <t>Content_complete</t>
  </si>
  <si>
    <t>Variant 1 (only primary information)</t>
  </si>
  <si>
    <t>Variant 2 (only current symptoms and all secondary information)</t>
  </si>
  <si>
    <t>Hello! I am Dr. Wenger and I will ask you several questions regarding your health now. Why are you here today?</t>
  </si>
  <si>
    <t>Thank you doctor for having me. I don't feel well and I have some symptoms that I would like to discuss with you.</t>
  </si>
  <si>
    <t>Tell me more about your symptoms.</t>
  </si>
  <si>
    <t>I've been having a headache and a fever for about three days now. The headache is similar to the migraines I used to have, but it's coupled with a fever this time which is a new and worrisome experience for me.</t>
  </si>
  <si>
    <t>Well, I've been having a headache, quite similar to the migraines I usually get, but this time it's accompanied by a fever too. It's been quite bothersome.</t>
  </si>
  <si>
    <r>
      <t>Well, for the past couple of days, I've had a pretty intense headache and I've also noticed that I have a fever. The headache seems constant, it's hard to focus on anything else or get any relief from it. As for the fever, it's been fluctuating but never really disappearing. I'm just not feeling like myself and it's making me feel quite</t>
    </r>
    <r>
      <rPr>
        <sz val="12"/>
        <color rgb="FFFF0000"/>
        <rFont val="Aptos Narrow (Body)"/>
      </rPr>
      <t xml:space="preserve"> anxious</t>
    </r>
    <r>
      <rPr>
        <sz val="12"/>
        <color theme="1"/>
        <rFont val="Aptos Narrow"/>
        <family val="2"/>
        <scheme val="minor"/>
      </rPr>
      <t xml:space="preserve"> about my condition.</t>
    </r>
  </si>
  <si>
    <t>Can you give me more details regarding your headache?</t>
  </si>
  <si>
    <r>
      <t>Sure! I</t>
    </r>
    <r>
      <rPr>
        <sz val="12"/>
        <color rgb="FFFF0000"/>
        <rFont val="Aptos Narrow (Body)"/>
      </rPr>
      <t xml:space="preserve">t's a severe throbbing headache mostly on one side of my head, </t>
    </r>
    <r>
      <rPr>
        <sz val="12"/>
        <color theme="1"/>
        <rFont val="Aptos Narrow"/>
        <family val="2"/>
        <scheme val="minor"/>
      </rPr>
      <t>like my typical migraine headaches. What's unusual this time is that it's accompanied by a fever, so I am a bit worried. Light and sound seem to make it worse too. I have been trying to manage it with Tylenol but it doesn't seem to work as well as it used to.</t>
    </r>
  </si>
  <si>
    <r>
      <t xml:space="preserve">Yes, sure. It's a </t>
    </r>
    <r>
      <rPr>
        <sz val="12"/>
        <color rgb="FFFF0000"/>
        <rFont val="Aptos Narrow (Body)"/>
      </rPr>
      <t>severe and throbbing pain that's mostly on one side of my head.</t>
    </r>
    <r>
      <rPr>
        <sz val="12"/>
        <color theme="1"/>
        <rFont val="Aptos Narrow"/>
        <family val="2"/>
        <scheme val="minor"/>
      </rPr>
      <t xml:space="preserve"> It's very similar to the migraines I've had in the past. The pain is bad enough that I've been finding it hard to focus on my studies. Normally</t>
    </r>
    <r>
      <rPr>
        <sz val="12"/>
        <color rgb="FFFF0000"/>
        <rFont val="Aptos Narrow (Body)"/>
      </rPr>
      <t xml:space="preserve"> my migraines get triggered when I'm under a lot of stress</t>
    </r>
    <r>
      <rPr>
        <sz val="12"/>
        <color theme="1"/>
        <rFont val="Aptos Narrow"/>
        <family val="2"/>
        <scheme val="minor"/>
      </rPr>
      <t>, and I've been quite stressed lately due to university work and</t>
    </r>
    <r>
      <rPr>
        <sz val="12"/>
        <color rgb="FFFF0000"/>
        <rFont val="Aptos Narrow (Body)"/>
      </rPr>
      <t xml:space="preserve"> personal issues</t>
    </r>
    <r>
      <rPr>
        <sz val="12"/>
        <color theme="1"/>
        <rFont val="Aptos Narrow"/>
        <family val="2"/>
        <scheme val="minor"/>
      </rPr>
      <t>. This time, though, the headache came along with a fever which is unusual for me.</t>
    </r>
  </si>
  <si>
    <r>
      <t>Yes, of course. The headache is more pressure-like than sharp and is primarily in the front of my head, across my forehead and behind my eyes. It's pretty continuous throughout the day, although it seems to become slightly more intense in the evenings. At first, I thought it was due to stress or perhaps not drinking enough water, but even after addressing those factors it hasn't subsided.</t>
    </r>
    <r>
      <rPr>
        <sz val="12"/>
        <color rgb="FFFF0000"/>
        <rFont val="Aptos Narrow (Body)"/>
      </rPr>
      <t xml:space="preserve"> And as someone who rarely ever gets headaches, </t>
    </r>
    <r>
      <rPr>
        <sz val="12"/>
        <color theme="1"/>
        <rFont val="Aptos Narrow"/>
        <family val="2"/>
        <scheme val="minor"/>
      </rPr>
      <t>this is unusual and concerning for me.</t>
    </r>
  </si>
  <si>
    <t>Tell me more regarding its localization and spread.</t>
  </si>
  <si>
    <t>The headache usually starts behind my eyes, before it spreads to the side of my head, typically the right side more than the left. It can sometimes feel like it's enveloping my entire head, but it's particularly intense in the right temple region. It's definitely a throbbing type of pain, almost like my heartbeat has found its way to my temple. It does not spread to any other part of my body, but it's pretty debilitating on its own.</t>
  </si>
  <si>
    <t>The pain typically starts around my temples and then it spreads to the front of my head. On most of the occasions, it's just on one side. It's hard to focus on anything else when the headache kicks in.</t>
  </si>
  <si>
    <t>The headache mainly started in the forehead area, right across the eyebrows and somewhat behind my eyes. Over the past few days, it seems to have spread towards the back of my head, almost like a band wrapping around. However, the intensity is still highest in the forehead and eye area. It's like a constant, dull throbbing sensation. It's definitely been disrupting my daily activities and making it difficult for me to focus or think clearly.</t>
  </si>
  <si>
    <t>Tell me more about its quality.</t>
  </si>
  <si>
    <t>The quality of the headache is intense and throbbing. It‚Äôs almost like there's a drum inside my head that's constantly pounding. It's a relentless, pounding pain that makes it hard for me to concentrate on anything. It makes me feel sensitive to even the dimmest light and softest sounds. It's very similar to my usual migraines but the persistence of the pain seems worse this time.</t>
  </si>
  <si>
    <t>It's a throbbing pain that can be quite intense. Sometimes it feels like a constant hammering in my head. It's been really affecting my ability to concentrate on my studies or do anything else for that matter.</t>
  </si>
  <si>
    <t>The best way I can describe it is as a constant, dull, and pressurizing pain. It's not sudden or sharp--more so, it's like a persistent discomfort. It's not the typical throbbing pain that I've experienced with past headaches; this feels more like a constant pressure, as if something is pushing against the front of my skull and behind my eyes. It's quite distressing, as I'm not used to experiencing this kind of pain.</t>
  </si>
  <si>
    <t>Tell me more about its severity.</t>
  </si>
  <si>
    <r>
      <t>On a scale of one to ten, where one means very mild and ten means the worst pain imaginable, I'</t>
    </r>
    <r>
      <rPr>
        <sz val="12"/>
        <color rgb="FFFF0000"/>
        <rFont val="Aptos Narrow (Body)"/>
      </rPr>
      <t xml:space="preserve">d rate my headache at an eight. </t>
    </r>
    <r>
      <rPr>
        <sz val="12"/>
        <color theme="1"/>
        <rFont val="Aptos Narrow"/>
        <family val="2"/>
        <scheme val="minor"/>
      </rPr>
      <t>On some points during the day, it even escalates to a nine. It's definitely one of the more severe headaches I've had in a while, even for someone with a history of migraines like me. The additional presence of fever is making me feel even worse.</t>
    </r>
  </si>
  <si>
    <r>
      <t xml:space="preserve">On a scale of 1-10, I'd rate it </t>
    </r>
    <r>
      <rPr>
        <sz val="12"/>
        <color rgb="FFFF0000"/>
        <rFont val="Aptos Narrow (Body)"/>
      </rPr>
      <t xml:space="preserve">at an 8. </t>
    </r>
    <r>
      <rPr>
        <sz val="12"/>
        <color theme="1"/>
        <rFont val="Aptos Narrow"/>
        <family val="2"/>
        <scheme val="minor"/>
      </rPr>
      <t>It's very intense. When a migraine hits, it's hard for me to focus on anything else due to the severity of the pain. This particular episode, with the added fever, has been worse than usual.</t>
    </r>
  </si>
  <si>
    <r>
      <t xml:space="preserve">On a scale of 1 to 10, with 10 being the worst pain imaginable, I would </t>
    </r>
    <r>
      <rPr>
        <sz val="12"/>
        <color rgb="FFFF0000"/>
        <rFont val="Aptos Narrow (Body)"/>
      </rPr>
      <t>rate it as a 7 or 8.</t>
    </r>
    <r>
      <rPr>
        <sz val="12"/>
        <color theme="1"/>
        <rFont val="Aptos Narrow"/>
        <family val="2"/>
        <scheme val="minor"/>
      </rPr>
      <t xml:space="preserve"> It's definitely not mild and is impacting my ability to perform my daily tasks. I've t</t>
    </r>
    <r>
      <rPr>
        <sz val="12"/>
        <color rgb="FFFF0000"/>
        <rFont val="Aptos Narrow (Body)"/>
      </rPr>
      <t>ried over-the-counter pain relievers like ibuprofen</t>
    </r>
    <r>
      <rPr>
        <sz val="12"/>
        <color theme="1"/>
        <rFont val="Aptos Narrow"/>
        <family val="2"/>
        <scheme val="minor"/>
      </rPr>
      <t>, but they seem to have minimal effect. The severity can increase towards the end of the day, which I guess could be related to tiredness. But it's definitely more than just a simple tension headache. I can be a bit of a perfectionist, so it's bothering me a lot that I'm unable to get on top of this and that it's affecting my daily routine so much.</t>
    </r>
  </si>
  <si>
    <t>Are you currently taking any medication?</t>
  </si>
  <si>
    <t>Yes, I've been taking Tylenol to try to manage the headache and fever. But it doesn't seem to be as effective as I'd hoped. The relief it provides is rather transient and the headache quickly returns. I'm really looking for a more sustainable solution.</t>
  </si>
  <si>
    <t>Yes, I've been taking Tylenol to help with the headache and fever. But it doesn't seem to help much with the migraine pain.</t>
  </si>
  <si>
    <r>
      <t>Only over-the-counter</t>
    </r>
    <r>
      <rPr>
        <sz val="12"/>
        <color rgb="FFFF0000"/>
        <rFont val="Aptos Narrow (Body)"/>
      </rPr>
      <t xml:space="preserve"> ibuprofen </t>
    </r>
    <r>
      <rPr>
        <sz val="12"/>
        <color theme="1"/>
        <rFont val="Aptos Narrow"/>
        <family val="2"/>
        <scheme val="minor"/>
      </rPr>
      <t>for the headache, but it doesn't seem to be helping too much. I regularly take a multivitamin but that's just part of my normal routine. I'm not on any prescribed medication currently.</t>
    </r>
  </si>
  <si>
    <t>Have you noticed any factors that trigger your symptoms?</t>
  </si>
  <si>
    <t>Lately, I have been under a significant amount of stress due to my academics. This stress has been pretty consistent and I have seen a correlation between moments of increased stress and the onset of these headaches. However, this is the first instance where a fever has presented itself along with the headache.</t>
  </si>
  <si>
    <r>
      <t xml:space="preserve">For me, stress is the main trigger that usually sets off my migraines. I'm currently under a lot of stress due to schooling and some </t>
    </r>
    <r>
      <rPr>
        <sz val="12"/>
        <color rgb="FFFF0000"/>
        <rFont val="Aptos Narrow (Body)"/>
      </rPr>
      <t>personal issues,</t>
    </r>
    <r>
      <rPr>
        <sz val="12"/>
        <color theme="1"/>
        <rFont val="Aptos Narrow"/>
        <family val="2"/>
        <scheme val="minor"/>
      </rPr>
      <t xml:space="preserve"> so I believe that's why my migraines have been more frequent. Along with the migraines, I've also been feeling rather anxious and depressed due to my current situations.</t>
    </r>
  </si>
  <si>
    <r>
      <t>Honestly, I wish I could pinpoint something specific that triggers this headache, but I've not been able to so far. I've been keeping track of my diet and caffeine intake, as well as my sleep patterns, and nothing stands out as a trigger. My symptoms don't seem to be related to any specific foods, activities, or stress levels either. It all seems to maintain a constant, dull pressure throughout the day,</t>
    </r>
    <r>
      <rPr>
        <sz val="12"/>
        <color rgb="FFFF0000"/>
        <rFont val="Aptos Narrow (Body)"/>
      </rPr>
      <t xml:space="preserve"> but it worsens by the evening</t>
    </r>
    <r>
      <rPr>
        <sz val="12"/>
        <color theme="1"/>
        <rFont val="Aptos Narrow"/>
        <family val="2"/>
        <scheme val="minor"/>
      </rPr>
      <t>, which has been quite worrisome. As for the fever, I can't think of anything specific that brings it on or increases it either. It's disconcerting for me because</t>
    </r>
    <r>
      <rPr>
        <sz val="12"/>
        <color theme="9"/>
        <rFont val="Aptos Narrow (Body)"/>
      </rPr>
      <t xml:space="preserve"> I'm usually able to understand and manage my health quite well.</t>
    </r>
  </si>
  <si>
    <t>Do you currently face difficult situations in your life?</t>
  </si>
  <si>
    <t>As a student, I've been buried under a ton of assignments, examinations, and project deadlines. I guess you could say that's been a major source of stress for me. On top of that, I'm a bit of a perfectionist, so I tend to worry a lot about doing well. This has left me feeling very anxious and somewhat depressed. I also worry about my health, especially since my headaches have intensified.</t>
  </si>
  <si>
    <r>
      <t>Yes, I've been dealing with quite a bit of stress lately. On top of my studies which have been very demanding,</t>
    </r>
    <r>
      <rPr>
        <sz val="12"/>
        <color rgb="FFFF0000"/>
        <rFont val="Aptos Narrow (Body)"/>
      </rPr>
      <t xml:space="preserve"> there have been some personal issues within my family </t>
    </r>
    <r>
      <rPr>
        <sz val="12"/>
        <color theme="1"/>
        <rFont val="Aptos Narrow"/>
        <family val="2"/>
        <scheme val="minor"/>
      </rPr>
      <t>that have added to my anxiety. It's starting to feel quite overwhelming and that's probably why my migraines have been acting up.</t>
    </r>
  </si>
  <si>
    <r>
      <rPr>
        <sz val="12"/>
        <color theme="9"/>
        <rFont val="Aptos Narrow (Body)"/>
      </rPr>
      <t>As someone who strives for perfection</t>
    </r>
    <r>
      <rPr>
        <sz val="12"/>
        <color theme="1"/>
        <rFont val="Aptos Narrow"/>
        <family val="2"/>
        <scheme val="minor"/>
      </rPr>
      <t xml:space="preserve"> in everything, I often find myself dealing with high levels of stress. Recently, I've been feeling </t>
    </r>
    <r>
      <rPr>
        <sz val="12"/>
        <color rgb="FFFF0000"/>
        <rFont val="Aptos Narrow (Body)"/>
      </rPr>
      <t>quite anxious and maybe even a bit depressed</t>
    </r>
    <r>
      <rPr>
        <sz val="12"/>
        <color theme="1"/>
        <rFont val="Aptos Narrow"/>
        <family val="2"/>
        <scheme val="minor"/>
      </rPr>
      <t>. It's not linked to a particular situation or event, it's more of an overall feeling that's been hard to shake. I think my current health concerns are significantly adding to my stress levels. I find that I'm worrying more about these symptoms, about not feeling well, about not understanding what's happening with my body. I take my health seriously and tr</t>
    </r>
    <r>
      <rPr>
        <sz val="12"/>
        <color theme="9"/>
        <rFont val="Aptos Narrow (Body)"/>
      </rPr>
      <t>y to be very knowledgeable about my condition,</t>
    </r>
    <r>
      <rPr>
        <sz val="12"/>
        <color theme="1"/>
        <rFont val="Aptos Narrow"/>
        <family val="2"/>
        <scheme val="minor"/>
      </rPr>
      <t xml:space="preserve"> so not knowing what's wrong is creating a lot of mental and emotional discomfort.</t>
    </r>
  </si>
  <si>
    <t>Are there any diseases that run in your family?</t>
  </si>
  <si>
    <t>Yes, my mother has a history of migraines. She suffered from them fairly often when I was growing up. I suspect that my migraines could be related to that. Other than that, to the best of my knowledge, there are no significant diseases that are common in my family.</t>
  </si>
  <si>
    <t>Yes, my mother has a history of migraines, much like me. Other than that, I'm not aware of any other significant family diseases.</t>
  </si>
  <si>
    <r>
      <t xml:space="preserve">In my immediate family, there doesn't seem to be a history of any chronic illnesses or conditions. My parents are both relatively healthy, and they age well. </t>
    </r>
    <r>
      <rPr>
        <sz val="12"/>
        <color rgb="FFFF0000"/>
        <rFont val="Aptos Narrow"/>
        <family val="2"/>
        <scheme val="minor"/>
      </rPr>
      <t>H</t>
    </r>
    <r>
      <rPr>
        <sz val="12"/>
        <color rgb="FFFF0000"/>
        <rFont val="Aptos Narrow (Body)"/>
      </rPr>
      <t>owever, on my mother's side, there is a history of migraines which she herself suffered from when she was younger</t>
    </r>
    <r>
      <rPr>
        <sz val="12"/>
        <color rgb="FFFF0000"/>
        <rFont val="Aptos Narrow"/>
        <family val="2"/>
        <scheme val="minor"/>
      </rPr>
      <t>.</t>
    </r>
    <r>
      <rPr>
        <sz val="12"/>
        <color theme="1"/>
        <rFont val="Aptos Narrow"/>
        <family val="2"/>
        <scheme val="minor"/>
      </rPr>
      <t xml:space="preserve"> She was treated successfully and she has been without incidents for years now. Other than that, there aren't any significant health issues in my family history to my knowledge.</t>
    </r>
  </si>
  <si>
    <t>What is your occupation?</t>
  </si>
  <si>
    <t>I am a full-time student. I'm currently in my third year of university studying biology. Between school and my part-time job at the library, it's been quite demanding and stressful.</t>
  </si>
  <si>
    <t>I am a student, currently completing my final year of university. As you can imagine, it's a stressful time with all the assignments, exams, and thinking about what comes next. The workload and uncertainty about the future probably contribute to my stress levels and my headaches.</t>
  </si>
  <si>
    <r>
      <rPr>
        <sz val="12"/>
        <color rgb="FFFF0000"/>
        <rFont val="Aptos Narrow (Body)"/>
      </rPr>
      <t>I work as a data analyst in a small organization</t>
    </r>
    <r>
      <rPr>
        <sz val="12"/>
        <color theme="9"/>
        <rFont val="Aptos Narrow (Body)"/>
      </rPr>
      <t xml:space="preserve">. </t>
    </r>
    <r>
      <rPr>
        <sz val="12"/>
        <color theme="1"/>
        <rFont val="Aptos Narrow"/>
        <family val="2"/>
        <scheme val="minor"/>
      </rPr>
      <t>I spend a lot of my time on the computer, working with numbers and patterns. It can be a stressful job at times because of tight deadlines and the level of accuracy required. I enjoy what I do but I'm also aware that it's a high-stress environment, which could contribute to my current symptoms. Even at home</t>
    </r>
    <r>
      <rPr>
        <sz val="12"/>
        <color theme="9"/>
        <rFont val="Aptos Narrow (Body)"/>
      </rPr>
      <t xml:space="preserve">, I am quite digitally engaged </t>
    </r>
    <r>
      <rPr>
        <sz val="12"/>
        <color theme="1"/>
        <rFont val="Aptos Narrow"/>
        <family val="2"/>
        <scheme val="minor"/>
      </rPr>
      <t>either browsing the internet or engaging on social media.</t>
    </r>
  </si>
  <si>
    <t>Are you taking the pill?</t>
  </si>
  <si>
    <t>No, I am not currently on any birth control pills.</t>
  </si>
  <si>
    <t>No, I am not currently taking any form of contraceptive pill. Other than the Tylenol for my headaches, I'm not on any other medication.</t>
  </si>
  <si>
    <t>No, I am not currently taking any form of hormonal birth control. I've never really used hormonal birth control methods in the past either. My partner and I typically use other forms of contraceptive.</t>
  </si>
  <si>
    <t>Red: Information that was made up</t>
  </si>
  <si>
    <t>Green: Explicitly mentioned secondary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</si>
</sst>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FF0000"/>
      <name val="Aptos Narrow (Body)"/>
    </font>
    <font>
      <sz val="12"/>
      <color theme="9"/>
      <name val="Aptos Narrow (Body)"/>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horizontal="left" vertical="top" wrapText="1"/>
    </xf>
    <xf numFmtId="0" fontId="0" fillId="0" borderId="0" xfId="0" applyAlignment="1">
      <alignment horizontal="left" vertical="top"/>
    </xf>
    <xf numFmtId="0" fontId="14" fillId="0" borderId="0" xfId="0" applyFont="1" applyAlignment="1">
      <alignment horizontal="left" vertical="top" wrapText="1"/>
    </xf>
    <xf numFmtId="0" fontId="0" fillId="0" borderId="0" xfId="0"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workbookViewId="0">
      <selection activeCell="B25" sqref="B25"/>
    </sheetView>
  </sheetViews>
  <sheetFormatPr baseColWidth="10" defaultColWidth="10.83203125" defaultRowHeight="16" x14ac:dyDescent="0.2"/>
  <cols>
    <col min="1" max="3" width="50.83203125" style="2" customWidth="1"/>
    <col min="4" max="16384" width="10.83203125" style="2"/>
  </cols>
  <sheetData>
    <row r="1" spans="1:6" ht="34" x14ac:dyDescent="0.2">
      <c r="A1" s="1" t="s">
        <v>0</v>
      </c>
      <c r="B1" s="1" t="s">
        <v>1</v>
      </c>
      <c r="C1" s="1" t="s">
        <v>2</v>
      </c>
    </row>
    <row r="2" spans="1:6" x14ac:dyDescent="0.2">
      <c r="A2" s="4" t="s">
        <v>3</v>
      </c>
      <c r="B2" s="4"/>
      <c r="C2" s="4"/>
    </row>
    <row r="3" spans="1:6" x14ac:dyDescent="0.2">
      <c r="A3" s="4" t="s">
        <v>4</v>
      </c>
      <c r="B3" s="4"/>
      <c r="C3" s="4"/>
    </row>
    <row r="4" spans="1:6" ht="17" customHeight="1" x14ac:dyDescent="0.2">
      <c r="A4" s="4" t="s">
        <v>5</v>
      </c>
      <c r="B4" s="4"/>
      <c r="C4" s="4"/>
    </row>
    <row r="5" spans="1:6" ht="102" x14ac:dyDescent="0.2">
      <c r="A5" s="1" t="s">
        <v>6</v>
      </c>
      <c r="B5" s="1" t="s">
        <v>7</v>
      </c>
      <c r="C5" s="1" t="s">
        <v>8</v>
      </c>
      <c r="D5" s="2">
        <f>IF(LEN(TRIM(A5))=0,0,LEN(TRIM(A5))-LEN(SUBSTITUTE(A5," ",""))+1)</f>
        <v>41</v>
      </c>
      <c r="E5" s="2">
        <f t="shared" ref="E5:F5" si="0">IF(LEN(TRIM(B5))=0,0,LEN(TRIM(B5))-LEN(SUBSTITUTE(B5," ",""))+1)</f>
        <v>27</v>
      </c>
      <c r="F5" s="2">
        <f t="shared" si="0"/>
        <v>66</v>
      </c>
    </row>
    <row r="6" spans="1:6" x14ac:dyDescent="0.2">
      <c r="A6" s="4" t="s">
        <v>9</v>
      </c>
      <c r="B6" s="4"/>
      <c r="C6" s="4"/>
    </row>
    <row r="7" spans="1:6" ht="153" x14ac:dyDescent="0.2">
      <c r="A7" s="1" t="s">
        <v>10</v>
      </c>
      <c r="B7" s="1" t="s">
        <v>11</v>
      </c>
      <c r="C7" s="1" t="s">
        <v>12</v>
      </c>
      <c r="D7" s="2">
        <f t="shared" ref="D7:D25" si="1">IF(LEN(TRIM(A7))=0,0,LEN(TRIM(A7))-LEN(SUBSTITUTE(A7," ",""))+1)</f>
        <v>65</v>
      </c>
      <c r="E7" s="2">
        <f t="shared" ref="E7:E25" si="2">IF(LEN(TRIM(B7))=0,0,LEN(TRIM(B7))-LEN(SUBSTITUTE(B7," ",""))+1)</f>
        <v>83</v>
      </c>
      <c r="F7" s="2">
        <f t="shared" ref="F7:F25" si="3">IF(LEN(TRIM(C7))=0,0,LEN(TRIM(C7))-LEN(SUBSTITUTE(C7," ",""))+1)</f>
        <v>82</v>
      </c>
    </row>
    <row r="8" spans="1:6" ht="17" customHeight="1" x14ac:dyDescent="0.2">
      <c r="A8" s="4" t="s">
        <v>13</v>
      </c>
      <c r="B8" s="4"/>
      <c r="C8" s="4"/>
    </row>
    <row r="9" spans="1:6" ht="136" x14ac:dyDescent="0.2">
      <c r="A9" s="3" t="s">
        <v>14</v>
      </c>
      <c r="B9" s="3" t="s">
        <v>15</v>
      </c>
      <c r="C9" s="3" t="s">
        <v>16</v>
      </c>
      <c r="D9" s="2">
        <f t="shared" si="1"/>
        <v>79</v>
      </c>
      <c r="E9" s="2">
        <f t="shared" si="2"/>
        <v>39</v>
      </c>
      <c r="F9" s="2">
        <f t="shared" si="3"/>
        <v>76</v>
      </c>
    </row>
    <row r="10" spans="1:6" ht="17" customHeight="1" x14ac:dyDescent="0.2">
      <c r="A10" s="4" t="s">
        <v>17</v>
      </c>
      <c r="B10" s="4"/>
      <c r="C10" s="4"/>
    </row>
    <row r="11" spans="1:6" ht="119" x14ac:dyDescent="0.2">
      <c r="A11" s="3" t="s">
        <v>18</v>
      </c>
      <c r="B11" s="3" t="s">
        <v>19</v>
      </c>
      <c r="C11" s="3" t="s">
        <v>20</v>
      </c>
      <c r="D11" s="2">
        <f t="shared" si="1"/>
        <v>66</v>
      </c>
      <c r="E11" s="2">
        <f t="shared" si="2"/>
        <v>37</v>
      </c>
      <c r="F11" s="2">
        <f t="shared" si="3"/>
        <v>73</v>
      </c>
    </row>
    <row r="12" spans="1:6" ht="17" customHeight="1" x14ac:dyDescent="0.2">
      <c r="A12" s="4" t="s">
        <v>21</v>
      </c>
      <c r="B12" s="4"/>
      <c r="C12" s="4"/>
    </row>
    <row r="13" spans="1:6" ht="170" x14ac:dyDescent="0.2">
      <c r="A13" s="1" t="s">
        <v>22</v>
      </c>
      <c r="B13" s="1" t="s">
        <v>23</v>
      </c>
      <c r="C13" s="1" t="s">
        <v>24</v>
      </c>
      <c r="D13" s="2">
        <f t="shared" si="1"/>
        <v>72</v>
      </c>
      <c r="E13" s="2">
        <f t="shared" si="2"/>
        <v>46</v>
      </c>
      <c r="F13" s="2">
        <f t="shared" si="3"/>
        <v>111</v>
      </c>
    </row>
    <row r="14" spans="1:6" ht="17" customHeight="1" x14ac:dyDescent="0.2">
      <c r="A14" s="4" t="s">
        <v>25</v>
      </c>
      <c r="B14" s="4"/>
      <c r="C14" s="4"/>
    </row>
    <row r="15" spans="1:6" ht="85" x14ac:dyDescent="0.2">
      <c r="A15" s="1" t="s">
        <v>26</v>
      </c>
      <c r="B15" s="1" t="s">
        <v>27</v>
      </c>
      <c r="C15" s="1" t="s">
        <v>28</v>
      </c>
      <c r="D15" s="2">
        <f t="shared" si="1"/>
        <v>44</v>
      </c>
      <c r="E15" s="2">
        <f t="shared" si="2"/>
        <v>23</v>
      </c>
      <c r="F15" s="2">
        <f t="shared" si="3"/>
        <v>35</v>
      </c>
    </row>
    <row r="16" spans="1:6" x14ac:dyDescent="0.2">
      <c r="A16" s="4" t="s">
        <v>29</v>
      </c>
      <c r="B16" s="4"/>
      <c r="C16" s="4"/>
    </row>
    <row r="17" spans="1:6" ht="187" x14ac:dyDescent="0.2">
      <c r="A17" s="1" t="s">
        <v>30</v>
      </c>
      <c r="B17" s="1" t="s">
        <v>31</v>
      </c>
      <c r="C17" s="1" t="s">
        <v>32</v>
      </c>
      <c r="D17" s="2">
        <f t="shared" si="1"/>
        <v>53</v>
      </c>
      <c r="E17" s="2">
        <f t="shared" si="2"/>
        <v>55</v>
      </c>
      <c r="F17" s="2">
        <f t="shared" si="3"/>
        <v>116</v>
      </c>
    </row>
    <row r="18" spans="1:6" x14ac:dyDescent="0.2">
      <c r="A18" s="4" t="s">
        <v>33</v>
      </c>
      <c r="B18" s="4"/>
      <c r="C18" s="4"/>
    </row>
    <row r="19" spans="1:6" ht="187" x14ac:dyDescent="0.2">
      <c r="A19" s="1" t="s">
        <v>34</v>
      </c>
      <c r="B19" s="1" t="s">
        <v>35</v>
      </c>
      <c r="C19" s="1" t="s">
        <v>36</v>
      </c>
      <c r="D19" s="2">
        <f t="shared" si="1"/>
        <v>71</v>
      </c>
      <c r="E19" s="2">
        <f t="shared" si="2"/>
        <v>52</v>
      </c>
      <c r="F19" s="2">
        <f t="shared" si="3"/>
        <v>112</v>
      </c>
    </row>
    <row r="20" spans="1:6" ht="17" customHeight="1" x14ac:dyDescent="0.2">
      <c r="A20" s="4" t="s">
        <v>37</v>
      </c>
      <c r="B20" s="4"/>
      <c r="C20" s="4"/>
    </row>
    <row r="21" spans="1:6" ht="136" x14ac:dyDescent="0.2">
      <c r="A21" s="1" t="s">
        <v>38</v>
      </c>
      <c r="B21" s="1" t="s">
        <v>39</v>
      </c>
      <c r="C21" s="1" t="s">
        <v>40</v>
      </c>
      <c r="D21" s="2">
        <f t="shared" si="1"/>
        <v>49</v>
      </c>
      <c r="E21" s="2">
        <f t="shared" si="2"/>
        <v>23</v>
      </c>
      <c r="F21" s="2">
        <f t="shared" si="3"/>
        <v>76</v>
      </c>
    </row>
    <row r="22" spans="1:6" ht="17" customHeight="1" x14ac:dyDescent="0.2">
      <c r="A22" s="4" t="s">
        <v>41</v>
      </c>
      <c r="B22" s="4"/>
      <c r="C22" s="4"/>
    </row>
    <row r="23" spans="1:6" ht="136" x14ac:dyDescent="0.2">
      <c r="A23" s="1" t="s">
        <v>42</v>
      </c>
      <c r="B23" s="1" t="s">
        <v>43</v>
      </c>
      <c r="C23" s="1" t="s">
        <v>44</v>
      </c>
      <c r="D23" s="2">
        <f t="shared" si="1"/>
        <v>30</v>
      </c>
      <c r="E23" s="2">
        <f t="shared" si="2"/>
        <v>46</v>
      </c>
      <c r="F23" s="2">
        <f t="shared" si="3"/>
        <v>81</v>
      </c>
    </row>
    <row r="24" spans="1:6" x14ac:dyDescent="0.2">
      <c r="A24" s="4" t="s">
        <v>45</v>
      </c>
      <c r="B24" s="4"/>
      <c r="C24" s="4"/>
    </row>
    <row r="25" spans="1:6" ht="68" x14ac:dyDescent="0.2">
      <c r="A25" s="1" t="s">
        <v>46</v>
      </c>
      <c r="B25" s="1" t="s">
        <v>47</v>
      </c>
      <c r="C25" s="1" t="s">
        <v>48</v>
      </c>
      <c r="D25" s="2">
        <f t="shared" si="1"/>
        <v>10</v>
      </c>
      <c r="E25" s="2">
        <f t="shared" si="2"/>
        <v>24</v>
      </c>
      <c r="F25" s="2">
        <f t="shared" si="3"/>
        <v>34</v>
      </c>
    </row>
    <row r="26" spans="1:6" x14ac:dyDescent="0.2">
      <c r="D26" s="2">
        <f>SUM(D5:D25)</f>
        <v>580</v>
      </c>
      <c r="E26" s="2">
        <f t="shared" ref="E26:F26" si="4">SUM(E5:E25)</f>
        <v>455</v>
      </c>
      <c r="F26" s="2">
        <f t="shared" si="4"/>
        <v>862</v>
      </c>
    </row>
    <row r="27" spans="1:6" x14ac:dyDescent="0.2">
      <c r="D27" s="2">
        <f>D26/11</f>
        <v>52.727272727272727</v>
      </c>
      <c r="E27" s="2">
        <f t="shared" ref="E27:F27" si="5">E26/11</f>
        <v>41.363636363636367</v>
      </c>
      <c r="F27" s="2">
        <f t="shared" si="5"/>
        <v>78.36363636363636</v>
      </c>
    </row>
    <row r="28" spans="1:6" x14ac:dyDescent="0.2">
      <c r="A28" s="2" t="s">
        <v>49</v>
      </c>
    </row>
    <row r="29" spans="1:6" x14ac:dyDescent="0.2">
      <c r="A29" s="2" t="s">
        <v>50</v>
      </c>
    </row>
  </sheetData>
  <mergeCells count="13">
    <mergeCell ref="A24:C24"/>
    <mergeCell ref="A3:C3"/>
    <mergeCell ref="A2:C2"/>
    <mergeCell ref="A6:C6"/>
    <mergeCell ref="A8:C8"/>
    <mergeCell ref="A10:C10"/>
    <mergeCell ref="A12:C12"/>
    <mergeCell ref="A4:C4"/>
    <mergeCell ref="A14:C14"/>
    <mergeCell ref="A16:C16"/>
    <mergeCell ref="A18:C18"/>
    <mergeCell ref="A20:C20"/>
    <mergeCell ref="A22:C22"/>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310EACFF6E12464E8D0D42AAE93AFDBF" ma:contentTypeVersion="15" ma:contentTypeDescription="Ein neues Dokument erstellen." ma:contentTypeScope="" ma:versionID="efa1b9a215fad520ec0fafcad15e96d6">
  <xsd:schema xmlns:xsd="http://www.w3.org/2001/XMLSchema" xmlns:xs="http://www.w3.org/2001/XMLSchema" xmlns:p="http://schemas.microsoft.com/office/2006/metadata/properties" xmlns:ns2="aa40c3e9-d5aa-4736-82da-71b46ec0d168" xmlns:ns3="4458a041-76dd-4c5b-b387-97f12b754d37" targetNamespace="http://schemas.microsoft.com/office/2006/metadata/properties" ma:root="true" ma:fieldsID="2c4cd5c46f96ec5bf9062b7e2a5bde23" ns2:_="" ns3:_="">
    <xsd:import namespace="aa40c3e9-d5aa-4736-82da-71b46ec0d168"/>
    <xsd:import namespace="4458a041-76dd-4c5b-b387-97f12b754d3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40c3e9-d5aa-4736-82da-71b46ec0d168"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Bildmarkierungen" ma:readOnly="false" ma:fieldId="{5cf76f15-5ced-4ddc-b409-7134ff3c332f}" ma:taxonomyMulti="true" ma:sspId="5762c749-3c58-4e44-b2b3-1d952cc78e76"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458a041-76dd-4c5b-b387-97f12b754d3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6d4f82c-50ab-4a31-a9ff-0e7f2ed7a98d}" ma:internalName="TaxCatchAll" ma:showField="CatchAllData" ma:web="4458a041-76dd-4c5b-b387-97f12b754d37">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a40c3e9-d5aa-4736-82da-71b46ec0d168">
      <Terms xmlns="http://schemas.microsoft.com/office/infopath/2007/PartnerControls"/>
    </lcf76f155ced4ddcb4097134ff3c332f>
    <TaxCatchAll xmlns="4458a041-76dd-4c5b-b387-97f12b754d3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55F0C39-C182-493F-B7C5-1D86E7D639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40c3e9-d5aa-4736-82da-71b46ec0d168"/>
    <ds:schemaRef ds:uri="4458a041-76dd-4c5b-b387-97f12b754d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D89D58-8AA5-4ACA-B3E7-43B607C409CA}">
  <ds:schemaRefs>
    <ds:schemaRef ds:uri="http://schemas.microsoft.com/office/2006/metadata/properties"/>
    <ds:schemaRef ds:uri="http://schemas.microsoft.com/office/infopath/2007/PartnerControls"/>
    <ds:schemaRef ds:uri="aa40c3e9-d5aa-4736-82da-71b46ec0d168"/>
    <ds:schemaRef ds:uri="4458a041-76dd-4c5b-b387-97f12b754d37"/>
  </ds:schemaRefs>
</ds:datastoreItem>
</file>

<file path=customXml/itemProps3.xml><?xml version="1.0" encoding="utf-8"?>
<ds:datastoreItem xmlns:ds="http://schemas.openxmlformats.org/officeDocument/2006/customXml" ds:itemID="{3CF05BB4-8E75-4A8E-8070-ACEC4560653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output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Reichenpfader Daniel</cp:lastModifiedBy>
  <cp:revision/>
  <dcterms:created xsi:type="dcterms:W3CDTF">2024-03-05T15:45:22Z</dcterms:created>
  <dcterms:modified xsi:type="dcterms:W3CDTF">2024-04-02T06:29:59Z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0x010100310EACFF6E12464E8D0D42AAE93AFDBF</vt:lpwstr>
  </property>
  <property fmtid="{D5CDD505-2E9C-101B-9397-08002B2CF9AE}" pid="3" name="MediaServiceImageTags">
    <vt:lpwstr/>
  </property>
</Properties>
</file>